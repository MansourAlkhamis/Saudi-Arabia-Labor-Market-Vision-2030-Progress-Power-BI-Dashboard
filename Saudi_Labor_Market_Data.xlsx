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so\Downloads\Data Analysis Projects\"/>
    </mc:Choice>
  </mc:AlternateContent>
  <xr:revisionPtr revIDLastSave="0" documentId="13_ncr:1_{9DFB3B0F-9CB2-4F0B-814E-6B680C575A6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Unemployment Trends" sheetId="1" r:id="rId1"/>
    <sheet name="Saudi vs Non-Saudi" sheetId="2" r:id="rId2"/>
    <sheet name="Female Participation" sheetId="3" r:id="rId3"/>
    <sheet name="Regional Employmen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3" l="1"/>
  <c r="E8" i="3"/>
  <c r="E7" i="3"/>
  <c r="E6" i="3"/>
  <c r="E5" i="3"/>
  <c r="E4" i="3"/>
  <c r="E3" i="3"/>
  <c r="E2" i="3"/>
  <c r="C14" i="2"/>
  <c r="B14" i="2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14" i="2" l="1"/>
  <c r="E14" i="2" s="1"/>
</calcChain>
</file>

<file path=xl/sharedStrings.xml><?xml version="1.0" encoding="utf-8"?>
<sst xmlns="http://schemas.openxmlformats.org/spreadsheetml/2006/main" count="109" uniqueCount="61">
  <si>
    <t>Year</t>
  </si>
  <si>
    <t>Quarter</t>
  </si>
  <si>
    <t>Overall (%)</t>
  </si>
  <si>
    <t>Saudi (%)</t>
  </si>
  <si>
    <t>Saudi Male (%)</t>
  </si>
  <si>
    <t>Saudi Female (%)</t>
  </si>
  <si>
    <t>Labor Participation (%)</t>
  </si>
  <si>
    <t>Q1</t>
  </si>
  <si>
    <t>Q2</t>
  </si>
  <si>
    <t>Q3</t>
  </si>
  <si>
    <t>Q4</t>
  </si>
  <si>
    <t>⚠ Q2-Q3 2020 highlighted in red — COVID-19 impact. Data compiled from GASTAT quarterly publications.</t>
  </si>
  <si>
    <t>Sector</t>
  </si>
  <si>
    <t>Saudi Workers</t>
  </si>
  <si>
    <t>Non-Saudi Workers</t>
  </si>
  <si>
    <t>Total</t>
  </si>
  <si>
    <t>Saudi %</t>
  </si>
  <si>
    <t>Saudization Status</t>
  </si>
  <si>
    <t>Government &amp; Public Admin</t>
  </si>
  <si>
    <t>High</t>
  </si>
  <si>
    <t>Education</t>
  </si>
  <si>
    <t>Healthcare</t>
  </si>
  <si>
    <t>Medium</t>
  </si>
  <si>
    <t>Finance &amp; Banking</t>
  </si>
  <si>
    <t>Retail &amp; Trade</t>
  </si>
  <si>
    <t>Low</t>
  </si>
  <si>
    <t>Construction</t>
  </si>
  <si>
    <t>Very Low</t>
  </si>
  <si>
    <t>Manufacturing</t>
  </si>
  <si>
    <t>Transportation</t>
  </si>
  <si>
    <t>Hospitality &amp; Tourism</t>
  </si>
  <si>
    <t>IT &amp; Communications</t>
  </si>
  <si>
    <t>Agriculture</t>
  </si>
  <si>
    <t>Other Services</t>
  </si>
  <si>
    <t>TOTAL</t>
  </si>
  <si>
    <t>Female Participation (%)</t>
  </si>
  <si>
    <t>Female Unemployment (%)</t>
  </si>
  <si>
    <t>Vision 2030 Target (%)</t>
  </si>
  <si>
    <t>Gap to Target (%)</t>
  </si>
  <si>
    <t>✓ Green = Vision 2030 target achieved  |  ⚠ Amber = Target not yet met  |  Vision 2030 set a target of 30% female participation</t>
  </si>
  <si>
    <t>Region</t>
  </si>
  <si>
    <t>Employed (000s)</t>
  </si>
  <si>
    <t>Unemployed (000s)</t>
  </si>
  <si>
    <t>Unemployment Rate (%)</t>
  </si>
  <si>
    <t>Region Type</t>
  </si>
  <si>
    <t>Riyadh</t>
  </si>
  <si>
    <t>Major Urban</t>
  </si>
  <si>
    <t>Makkah</t>
  </si>
  <si>
    <t>Eastern Region</t>
  </si>
  <si>
    <t>Madinah</t>
  </si>
  <si>
    <t>Urban</t>
  </si>
  <si>
    <t>Asir</t>
  </si>
  <si>
    <t>Qassim</t>
  </si>
  <si>
    <t>Tabuk</t>
  </si>
  <si>
    <t>Developing</t>
  </si>
  <si>
    <t>Hail</t>
  </si>
  <si>
    <t>Jazan</t>
  </si>
  <si>
    <t>Najran</t>
  </si>
  <si>
    <t>Northern Borders</t>
  </si>
  <si>
    <t>Al-Baha</t>
  </si>
  <si>
    <t>Al-Jouf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</si>
</sst>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+0.0%;\-0.0%;0.0%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2C2C2C"/>
      <name val="Arial"/>
      <charset val="1"/>
    </font>
    <font>
      <sz val="9"/>
      <color rgb="FFAA0000"/>
      <name val="Arial"/>
      <charset val="1"/>
    </font>
    <font>
      <sz val="10"/>
      <color rgb="FF1D9E75"/>
      <name val="Arial"/>
      <charset val="1"/>
    </font>
    <font>
      <sz val="10"/>
      <color rgb="FFAA0000"/>
      <name val="Arial"/>
      <charset val="1"/>
    </font>
    <font>
      <b/>
      <sz val="10"/>
      <color rgb="FF2C2C2C"/>
      <name val="Arial"/>
      <charset val="1"/>
    </font>
    <font>
      <sz val="10"/>
      <color rgb="FFBA7517"/>
      <name val="Arial"/>
      <charset val="1"/>
    </font>
    <font>
      <sz val="9"/>
      <color rgb="FF1D9E75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FFE8E8"/>
        <bgColor rgb="FFFFE0E0"/>
      </patternFill>
    </fill>
    <fill>
      <patternFill patternType="solid">
        <fgColor rgb="FFD5F0E8"/>
        <bgColor rgb="FFD6E4F0"/>
      </patternFill>
    </fill>
    <fill>
      <patternFill patternType="solid">
        <fgColor rgb="FFD6E4F0"/>
        <bgColor rgb="FFD5F0E8"/>
      </patternFill>
    </fill>
    <fill>
      <patternFill patternType="solid">
        <fgColor rgb="FFFFF3CD"/>
        <bgColor rgb="FFFFE8E8"/>
      </patternFill>
    </fill>
    <fill>
      <patternFill patternType="solid">
        <fgColor rgb="FFFFE0E0"/>
        <bgColor rgb="FFFF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BA7517"/>
      <rgbColor rgb="FF800080"/>
      <rgbColor rgb="FF008080"/>
      <rgbColor rgb="FFCCCCCC"/>
      <rgbColor rgb="FF808080"/>
      <rgbColor rgb="FF9999FF"/>
      <rgbColor rgb="FF993366"/>
      <rgbColor rgb="FFFFF3CD"/>
      <rgbColor rgb="FFD5F0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E8E8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tabSelected="1" zoomScaleNormal="100" workbookViewId="0">
      <selection activeCell="I8" sqref="I8"/>
    </sheetView>
  </sheetViews>
  <sheetFormatPr defaultColWidth="8.6640625" defaultRowHeight="14.4" x14ac:dyDescent="0.3"/>
  <cols>
    <col min="1" max="1" width="8" customWidth="1"/>
    <col min="2" max="2" width="10" customWidth="1"/>
    <col min="3" max="3" width="14" customWidth="1"/>
    <col min="4" max="4" width="12" customWidth="1"/>
    <col min="5" max="5" width="16" customWidth="1"/>
    <col min="6" max="6" width="18" customWidth="1"/>
    <col min="7" max="7" width="20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2017</v>
      </c>
      <c r="B2" s="2" t="s">
        <v>7</v>
      </c>
      <c r="C2" s="3">
        <v>5.7</v>
      </c>
      <c r="D2" s="3">
        <v>12.3</v>
      </c>
      <c r="E2" s="3">
        <v>6.9</v>
      </c>
      <c r="F2" s="3">
        <v>30.5</v>
      </c>
      <c r="G2" s="3">
        <v>41.5</v>
      </c>
    </row>
    <row r="3" spans="1:7" x14ac:dyDescent="0.3">
      <c r="A3" s="4">
        <v>2017</v>
      </c>
      <c r="B3" s="4" t="s">
        <v>8</v>
      </c>
      <c r="C3" s="5">
        <v>5.8</v>
      </c>
      <c r="D3" s="5">
        <v>12.5</v>
      </c>
      <c r="E3" s="5">
        <v>7.1</v>
      </c>
      <c r="F3" s="5">
        <v>31.2</v>
      </c>
      <c r="G3" s="5">
        <v>41.8</v>
      </c>
    </row>
    <row r="4" spans="1:7" x14ac:dyDescent="0.3">
      <c r="A4" s="2">
        <v>2017</v>
      </c>
      <c r="B4" s="2" t="s">
        <v>9</v>
      </c>
      <c r="C4" s="3">
        <v>5.9</v>
      </c>
      <c r="D4" s="3">
        <v>12.7</v>
      </c>
      <c r="E4" s="3">
        <v>7.2</v>
      </c>
      <c r="F4" s="3">
        <v>31.8</v>
      </c>
      <c r="G4" s="3">
        <v>42</v>
      </c>
    </row>
    <row r="5" spans="1:7" x14ac:dyDescent="0.3">
      <c r="A5" s="4">
        <v>2017</v>
      </c>
      <c r="B5" s="4" t="s">
        <v>10</v>
      </c>
      <c r="C5" s="5">
        <v>6</v>
      </c>
      <c r="D5" s="5">
        <v>12.8</v>
      </c>
      <c r="E5" s="5">
        <v>7.3</v>
      </c>
      <c r="F5" s="5">
        <v>32</v>
      </c>
      <c r="G5" s="5">
        <v>42.2</v>
      </c>
    </row>
    <row r="6" spans="1:7" x14ac:dyDescent="0.3">
      <c r="A6" s="2">
        <v>2018</v>
      </c>
      <c r="B6" s="2" t="s">
        <v>7</v>
      </c>
      <c r="C6" s="3">
        <v>5.9</v>
      </c>
      <c r="D6" s="3">
        <v>12.9</v>
      </c>
      <c r="E6" s="3">
        <v>7.1</v>
      </c>
      <c r="F6" s="3">
        <v>32.5</v>
      </c>
      <c r="G6" s="3">
        <v>42.5</v>
      </c>
    </row>
    <row r="7" spans="1:7" x14ac:dyDescent="0.3">
      <c r="A7" s="4">
        <v>2018</v>
      </c>
      <c r="B7" s="4" t="s">
        <v>8</v>
      </c>
      <c r="C7" s="5">
        <v>6</v>
      </c>
      <c r="D7" s="5">
        <v>12.6</v>
      </c>
      <c r="E7" s="5">
        <v>7</v>
      </c>
      <c r="F7" s="5">
        <v>31.8</v>
      </c>
      <c r="G7" s="5">
        <v>42.8</v>
      </c>
    </row>
    <row r="8" spans="1:7" x14ac:dyDescent="0.3">
      <c r="A8" s="2">
        <v>2018</v>
      </c>
      <c r="B8" s="2" t="s">
        <v>9</v>
      </c>
      <c r="C8" s="3">
        <v>6.1</v>
      </c>
      <c r="D8" s="3">
        <v>12.5</v>
      </c>
      <c r="E8" s="3">
        <v>6.9</v>
      </c>
      <c r="F8" s="3">
        <v>31.5</v>
      </c>
      <c r="G8" s="3">
        <v>43</v>
      </c>
    </row>
    <row r="9" spans="1:7" x14ac:dyDescent="0.3">
      <c r="A9" s="4">
        <v>2018</v>
      </c>
      <c r="B9" s="4" t="s">
        <v>10</v>
      </c>
      <c r="C9" s="5">
        <v>6</v>
      </c>
      <c r="D9" s="5">
        <v>12.3</v>
      </c>
      <c r="E9" s="5">
        <v>6.8</v>
      </c>
      <c r="F9" s="5">
        <v>31</v>
      </c>
      <c r="G9" s="5">
        <v>43.2</v>
      </c>
    </row>
    <row r="10" spans="1:7" x14ac:dyDescent="0.3">
      <c r="A10" s="2">
        <v>2019</v>
      </c>
      <c r="B10" s="2" t="s">
        <v>7</v>
      </c>
      <c r="C10" s="3">
        <v>5.7</v>
      </c>
      <c r="D10" s="3">
        <v>12.1</v>
      </c>
      <c r="E10" s="3">
        <v>6.6</v>
      </c>
      <c r="F10" s="3">
        <v>30.1</v>
      </c>
      <c r="G10" s="3">
        <v>43.5</v>
      </c>
    </row>
    <row r="11" spans="1:7" x14ac:dyDescent="0.3">
      <c r="A11" s="4">
        <v>2019</v>
      </c>
      <c r="B11" s="4" t="s">
        <v>8</v>
      </c>
      <c r="C11" s="5">
        <v>5.7</v>
      </c>
      <c r="D11" s="5">
        <v>11.9</v>
      </c>
      <c r="E11" s="5">
        <v>6.5</v>
      </c>
      <c r="F11" s="5">
        <v>29.9</v>
      </c>
      <c r="G11" s="5">
        <v>43.8</v>
      </c>
    </row>
    <row r="12" spans="1:7" x14ac:dyDescent="0.3">
      <c r="A12" s="2">
        <v>2019</v>
      </c>
      <c r="B12" s="2" t="s">
        <v>9</v>
      </c>
      <c r="C12" s="3">
        <v>5.6</v>
      </c>
      <c r="D12" s="3">
        <v>11.7</v>
      </c>
      <c r="E12" s="3">
        <v>6.3</v>
      </c>
      <c r="F12" s="3">
        <v>29.5</v>
      </c>
      <c r="G12" s="3">
        <v>44</v>
      </c>
    </row>
    <row r="13" spans="1:7" x14ac:dyDescent="0.3">
      <c r="A13" s="4">
        <v>2019</v>
      </c>
      <c r="B13" s="4" t="s">
        <v>10</v>
      </c>
      <c r="C13" s="5">
        <v>5.5</v>
      </c>
      <c r="D13" s="5">
        <v>11.5</v>
      </c>
      <c r="E13" s="5">
        <v>6.1</v>
      </c>
      <c r="F13" s="5">
        <v>29.1</v>
      </c>
      <c r="G13" s="5">
        <v>44.2</v>
      </c>
    </row>
    <row r="14" spans="1:7" x14ac:dyDescent="0.3">
      <c r="A14" s="2">
        <v>2020</v>
      </c>
      <c r="B14" s="2" t="s">
        <v>7</v>
      </c>
      <c r="C14" s="3">
        <v>5.6</v>
      </c>
      <c r="D14" s="3">
        <v>11.8</v>
      </c>
      <c r="E14" s="3">
        <v>6.2</v>
      </c>
      <c r="F14" s="3">
        <v>29.8</v>
      </c>
      <c r="G14" s="3">
        <v>44</v>
      </c>
    </row>
    <row r="15" spans="1:7" x14ac:dyDescent="0.3">
      <c r="A15" s="6">
        <v>2020</v>
      </c>
      <c r="B15" s="6" t="s">
        <v>8</v>
      </c>
      <c r="C15" s="7">
        <v>7.7</v>
      </c>
      <c r="D15" s="7">
        <v>15.4</v>
      </c>
      <c r="E15" s="7">
        <v>9.8000000000000007</v>
      </c>
      <c r="F15" s="7">
        <v>34</v>
      </c>
      <c r="G15" s="7">
        <v>43.2</v>
      </c>
    </row>
    <row r="16" spans="1:7" x14ac:dyDescent="0.3">
      <c r="A16" s="6">
        <v>2020</v>
      </c>
      <c r="B16" s="6" t="s">
        <v>9</v>
      </c>
      <c r="C16" s="7">
        <v>7.4</v>
      </c>
      <c r="D16" s="7">
        <v>14.9</v>
      </c>
      <c r="E16" s="7">
        <v>9.1999999999999993</v>
      </c>
      <c r="F16" s="7">
        <v>33.5</v>
      </c>
      <c r="G16" s="7">
        <v>43.5</v>
      </c>
    </row>
    <row r="17" spans="1:7" x14ac:dyDescent="0.3">
      <c r="A17" s="4">
        <v>2020</v>
      </c>
      <c r="B17" s="4" t="s">
        <v>10</v>
      </c>
      <c r="C17" s="5">
        <v>6.6</v>
      </c>
      <c r="D17" s="5">
        <v>14.1</v>
      </c>
      <c r="E17" s="5">
        <v>8.4</v>
      </c>
      <c r="F17" s="5">
        <v>33.1</v>
      </c>
      <c r="G17" s="5">
        <v>43.8</v>
      </c>
    </row>
    <row r="18" spans="1:7" x14ac:dyDescent="0.3">
      <c r="A18" s="2">
        <v>2021</v>
      </c>
      <c r="B18" s="2" t="s">
        <v>7</v>
      </c>
      <c r="C18" s="3">
        <v>6.3</v>
      </c>
      <c r="D18" s="3">
        <v>11.7</v>
      </c>
      <c r="E18" s="3">
        <v>6.8</v>
      </c>
      <c r="F18" s="3">
        <v>26.5</v>
      </c>
      <c r="G18" s="3">
        <v>47.8</v>
      </c>
    </row>
    <row r="19" spans="1:7" x14ac:dyDescent="0.3">
      <c r="A19" s="4">
        <v>2021</v>
      </c>
      <c r="B19" s="4" t="s">
        <v>8</v>
      </c>
      <c r="C19" s="5">
        <v>5.8</v>
      </c>
      <c r="D19" s="5">
        <v>11.3</v>
      </c>
      <c r="E19" s="5">
        <v>6.5</v>
      </c>
      <c r="F19" s="5">
        <v>25.8</v>
      </c>
      <c r="G19" s="5">
        <v>48.2</v>
      </c>
    </row>
    <row r="20" spans="1:7" x14ac:dyDescent="0.3">
      <c r="A20" s="2">
        <v>2021</v>
      </c>
      <c r="B20" s="2" t="s">
        <v>9</v>
      </c>
      <c r="C20" s="3">
        <v>5.2</v>
      </c>
      <c r="D20" s="3">
        <v>11</v>
      </c>
      <c r="E20" s="3">
        <v>6.3</v>
      </c>
      <c r="F20" s="3">
        <v>25</v>
      </c>
      <c r="G20" s="3">
        <v>48.5</v>
      </c>
    </row>
    <row r="21" spans="1:7" x14ac:dyDescent="0.3">
      <c r="A21" s="4">
        <v>2021</v>
      </c>
      <c r="B21" s="4" t="s">
        <v>10</v>
      </c>
      <c r="C21" s="5">
        <v>4.9000000000000004</v>
      </c>
      <c r="D21" s="5">
        <v>10.7</v>
      </c>
      <c r="E21" s="5">
        <v>6.1</v>
      </c>
      <c r="F21" s="5">
        <v>24.2</v>
      </c>
      <c r="G21" s="5">
        <v>48.8</v>
      </c>
    </row>
    <row r="22" spans="1:7" x14ac:dyDescent="0.3">
      <c r="A22" s="2">
        <v>2022</v>
      </c>
      <c r="B22" s="2" t="s">
        <v>7</v>
      </c>
      <c r="C22" s="3">
        <v>4.5</v>
      </c>
      <c r="D22" s="3">
        <v>10.1</v>
      </c>
      <c r="E22" s="3">
        <v>5.8</v>
      </c>
      <c r="F22" s="3">
        <v>23</v>
      </c>
      <c r="G22" s="3">
        <v>49.2</v>
      </c>
    </row>
    <row r="23" spans="1:7" x14ac:dyDescent="0.3">
      <c r="A23" s="4">
        <v>2022</v>
      </c>
      <c r="B23" s="4" t="s">
        <v>8</v>
      </c>
      <c r="C23" s="5">
        <v>4.3</v>
      </c>
      <c r="D23" s="5">
        <v>9.8000000000000007</v>
      </c>
      <c r="E23" s="5">
        <v>5.6</v>
      </c>
      <c r="F23" s="5">
        <v>22.5</v>
      </c>
      <c r="G23" s="5">
        <v>49.5</v>
      </c>
    </row>
    <row r="24" spans="1:7" x14ac:dyDescent="0.3">
      <c r="A24" s="2">
        <v>2022</v>
      </c>
      <c r="B24" s="2" t="s">
        <v>9</v>
      </c>
      <c r="C24" s="3">
        <v>4.0999999999999996</v>
      </c>
      <c r="D24" s="3">
        <v>9.5</v>
      </c>
      <c r="E24" s="3">
        <v>5.4</v>
      </c>
      <c r="F24" s="3">
        <v>22</v>
      </c>
      <c r="G24" s="3">
        <v>49.8</v>
      </c>
    </row>
    <row r="25" spans="1:7" x14ac:dyDescent="0.3">
      <c r="A25" s="4">
        <v>2022</v>
      </c>
      <c r="B25" s="4" t="s">
        <v>10</v>
      </c>
      <c r="C25" s="5">
        <v>3.9</v>
      </c>
      <c r="D25" s="5">
        <v>9</v>
      </c>
      <c r="E25" s="5">
        <v>5.0999999999999996</v>
      </c>
      <c r="F25" s="5">
        <v>21.2</v>
      </c>
      <c r="G25" s="5">
        <v>50</v>
      </c>
    </row>
    <row r="26" spans="1:7" x14ac:dyDescent="0.3">
      <c r="A26" s="2">
        <v>2023</v>
      </c>
      <c r="B26" s="2" t="s">
        <v>7</v>
      </c>
      <c r="C26" s="3">
        <v>3.7</v>
      </c>
      <c r="D26" s="3">
        <v>8.6999999999999993</v>
      </c>
      <c r="E26" s="3">
        <v>4.9000000000000004</v>
      </c>
      <c r="F26" s="3">
        <v>20.5</v>
      </c>
      <c r="G26" s="3">
        <v>50.4</v>
      </c>
    </row>
    <row r="27" spans="1:7" x14ac:dyDescent="0.3">
      <c r="A27" s="4">
        <v>2023</v>
      </c>
      <c r="B27" s="4" t="s">
        <v>8</v>
      </c>
      <c r="C27" s="5">
        <v>3.5</v>
      </c>
      <c r="D27" s="5">
        <v>8.3000000000000007</v>
      </c>
      <c r="E27" s="5">
        <v>4.7</v>
      </c>
      <c r="F27" s="5">
        <v>19.8</v>
      </c>
      <c r="G27" s="5">
        <v>50.8</v>
      </c>
    </row>
    <row r="28" spans="1:7" x14ac:dyDescent="0.3">
      <c r="A28" s="2">
        <v>2023</v>
      </c>
      <c r="B28" s="2" t="s">
        <v>9</v>
      </c>
      <c r="C28" s="3">
        <v>3.4</v>
      </c>
      <c r="D28" s="3">
        <v>8.1</v>
      </c>
      <c r="E28" s="3">
        <v>4.5</v>
      </c>
      <c r="F28" s="3">
        <v>19.2</v>
      </c>
      <c r="G28" s="3">
        <v>51</v>
      </c>
    </row>
    <row r="29" spans="1:7" x14ac:dyDescent="0.3">
      <c r="A29" s="4">
        <v>2023</v>
      </c>
      <c r="B29" s="4" t="s">
        <v>10</v>
      </c>
      <c r="C29" s="5">
        <v>3.4</v>
      </c>
      <c r="D29" s="5">
        <v>7.8</v>
      </c>
      <c r="E29" s="5">
        <v>4.5999999999999996</v>
      </c>
      <c r="F29" s="5">
        <v>13.9</v>
      </c>
      <c r="G29" s="5">
        <v>51.4</v>
      </c>
    </row>
    <row r="30" spans="1:7" x14ac:dyDescent="0.3">
      <c r="A30" s="2">
        <v>2024</v>
      </c>
      <c r="B30" s="2" t="s">
        <v>7</v>
      </c>
      <c r="C30" s="3">
        <v>3.5</v>
      </c>
      <c r="D30" s="3">
        <v>7.6</v>
      </c>
      <c r="E30" s="3">
        <v>4.2</v>
      </c>
      <c r="F30" s="3">
        <v>14.2</v>
      </c>
      <c r="G30" s="3">
        <v>51.4</v>
      </c>
    </row>
    <row r="31" spans="1:7" x14ac:dyDescent="0.3">
      <c r="A31" s="4">
        <v>2024</v>
      </c>
      <c r="B31" s="4" t="s">
        <v>8</v>
      </c>
      <c r="C31" s="5">
        <v>3.3</v>
      </c>
      <c r="D31" s="5">
        <v>7.1</v>
      </c>
      <c r="E31" s="5">
        <v>4</v>
      </c>
      <c r="F31" s="5">
        <v>13.8</v>
      </c>
      <c r="G31" s="5">
        <v>51.5</v>
      </c>
    </row>
    <row r="32" spans="1:7" x14ac:dyDescent="0.3">
      <c r="A32" s="2">
        <v>2024</v>
      </c>
      <c r="B32" s="2" t="s">
        <v>9</v>
      </c>
      <c r="C32" s="3">
        <v>3.7</v>
      </c>
      <c r="D32" s="3">
        <v>7.8</v>
      </c>
      <c r="E32" s="3">
        <v>4.0999999999999996</v>
      </c>
      <c r="F32" s="3">
        <v>14</v>
      </c>
      <c r="G32" s="3">
        <v>51.5</v>
      </c>
    </row>
    <row r="33" spans="1:7" x14ac:dyDescent="0.3">
      <c r="A33" s="4">
        <v>2024</v>
      </c>
      <c r="B33" s="4" t="s">
        <v>10</v>
      </c>
      <c r="C33" s="5">
        <v>3.5</v>
      </c>
      <c r="D33" s="5">
        <v>7</v>
      </c>
      <c r="E33" s="5">
        <v>4</v>
      </c>
      <c r="F33" s="5">
        <v>13.5</v>
      </c>
      <c r="G33" s="5">
        <v>51.8</v>
      </c>
    </row>
    <row r="35" spans="1:7" x14ac:dyDescent="0.3">
      <c r="A35" s="27" t="s">
        <v>11</v>
      </c>
      <c r="B35" s="27"/>
      <c r="C35" s="27"/>
      <c r="D35" s="27"/>
      <c r="E35" s="27"/>
      <c r="F35" s="27"/>
      <c r="G35" s="27"/>
    </row>
  </sheetData>
  <mergeCells count="1">
    <mergeCell ref="A35:G3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selection activeCell="F2" sqref="F2"/>
    </sheetView>
  </sheetViews>
  <sheetFormatPr defaultColWidth="8.6640625" defaultRowHeight="14.4" x14ac:dyDescent="0.3"/>
  <cols>
    <col min="1" max="1" width="24" bestFit="1" customWidth="1"/>
    <col min="2" max="3" width="18" customWidth="1"/>
    <col min="4" max="5" width="22" customWidth="1"/>
    <col min="6" max="6" width="16" customWidth="1"/>
  </cols>
  <sheetData>
    <row r="1" spans="1:6" ht="31.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 s="8" t="s">
        <v>18</v>
      </c>
      <c r="B2" s="9">
        <v>1250</v>
      </c>
      <c r="C2" s="9">
        <v>85</v>
      </c>
      <c r="D2" s="9">
        <f t="shared" ref="D2:D14" si="0">B2+C2</f>
        <v>1335</v>
      </c>
      <c r="E2" s="10">
        <f t="shared" ref="E2:E14" si="1">B2/D2</f>
        <v>0.93632958801498123</v>
      </c>
      <c r="F2" s="11" t="s">
        <v>19</v>
      </c>
    </row>
    <row r="3" spans="1:6" x14ac:dyDescent="0.3">
      <c r="A3" s="12" t="s">
        <v>20</v>
      </c>
      <c r="B3" s="13">
        <v>650</v>
      </c>
      <c r="C3" s="13">
        <v>120</v>
      </c>
      <c r="D3" s="13">
        <f t="shared" si="0"/>
        <v>770</v>
      </c>
      <c r="E3" s="14">
        <f t="shared" si="1"/>
        <v>0.8441558441558441</v>
      </c>
      <c r="F3" s="11" t="s">
        <v>19</v>
      </c>
    </row>
    <row r="4" spans="1:6" x14ac:dyDescent="0.3">
      <c r="A4" s="8" t="s">
        <v>21</v>
      </c>
      <c r="B4" s="9">
        <v>310</v>
      </c>
      <c r="C4" s="9">
        <v>290</v>
      </c>
      <c r="D4" s="9">
        <f t="shared" si="0"/>
        <v>600</v>
      </c>
      <c r="E4" s="10">
        <f t="shared" si="1"/>
        <v>0.51666666666666672</v>
      </c>
      <c r="F4" s="15" t="s">
        <v>22</v>
      </c>
    </row>
    <row r="5" spans="1:6" x14ac:dyDescent="0.3">
      <c r="A5" s="12" t="s">
        <v>23</v>
      </c>
      <c r="B5" s="13">
        <v>180</v>
      </c>
      <c r="C5" s="13">
        <v>45</v>
      </c>
      <c r="D5" s="13">
        <f t="shared" si="0"/>
        <v>225</v>
      </c>
      <c r="E5" s="14">
        <f t="shared" si="1"/>
        <v>0.8</v>
      </c>
      <c r="F5" s="11" t="s">
        <v>19</v>
      </c>
    </row>
    <row r="6" spans="1:6" x14ac:dyDescent="0.3">
      <c r="A6" s="8" t="s">
        <v>24</v>
      </c>
      <c r="B6" s="9">
        <v>420</v>
      </c>
      <c r="C6" s="9">
        <v>980</v>
      </c>
      <c r="D6" s="9">
        <f t="shared" si="0"/>
        <v>1400</v>
      </c>
      <c r="E6" s="10">
        <f t="shared" si="1"/>
        <v>0.3</v>
      </c>
      <c r="F6" s="16" t="s">
        <v>25</v>
      </c>
    </row>
    <row r="7" spans="1:6" x14ac:dyDescent="0.3">
      <c r="A7" s="12" t="s">
        <v>26</v>
      </c>
      <c r="B7" s="13">
        <v>185</v>
      </c>
      <c r="C7" s="13">
        <v>1850</v>
      </c>
      <c r="D7" s="13">
        <f t="shared" si="0"/>
        <v>2035</v>
      </c>
      <c r="E7" s="14">
        <f t="shared" si="1"/>
        <v>9.0909090909090912E-2</v>
      </c>
      <c r="F7" s="17" t="s">
        <v>27</v>
      </c>
    </row>
    <row r="8" spans="1:6" x14ac:dyDescent="0.3">
      <c r="A8" s="8" t="s">
        <v>28</v>
      </c>
      <c r="B8" s="9">
        <v>210</v>
      </c>
      <c r="C8" s="9">
        <v>890</v>
      </c>
      <c r="D8" s="9">
        <f t="shared" si="0"/>
        <v>1100</v>
      </c>
      <c r="E8" s="10">
        <f t="shared" si="1"/>
        <v>0.19090909090909092</v>
      </c>
      <c r="F8" s="16" t="s">
        <v>25</v>
      </c>
    </row>
    <row r="9" spans="1:6" x14ac:dyDescent="0.3">
      <c r="A9" s="12" t="s">
        <v>29</v>
      </c>
      <c r="B9" s="13">
        <v>195</v>
      </c>
      <c r="C9" s="13">
        <v>620</v>
      </c>
      <c r="D9" s="13">
        <f t="shared" si="0"/>
        <v>815</v>
      </c>
      <c r="E9" s="14">
        <f t="shared" si="1"/>
        <v>0.2392638036809816</v>
      </c>
      <c r="F9" s="16" t="s">
        <v>25</v>
      </c>
    </row>
    <row r="10" spans="1:6" x14ac:dyDescent="0.3">
      <c r="A10" s="8" t="s">
        <v>30</v>
      </c>
      <c r="B10" s="9">
        <v>165</v>
      </c>
      <c r="C10" s="9">
        <v>510</v>
      </c>
      <c r="D10" s="9">
        <f t="shared" si="0"/>
        <v>675</v>
      </c>
      <c r="E10" s="10">
        <f t="shared" si="1"/>
        <v>0.24444444444444444</v>
      </c>
      <c r="F10" s="16" t="s">
        <v>25</v>
      </c>
    </row>
    <row r="11" spans="1:6" x14ac:dyDescent="0.3">
      <c r="A11" s="12" t="s">
        <v>31</v>
      </c>
      <c r="B11" s="13">
        <v>145</v>
      </c>
      <c r="C11" s="13">
        <v>180</v>
      </c>
      <c r="D11" s="13">
        <f t="shared" si="0"/>
        <v>325</v>
      </c>
      <c r="E11" s="14">
        <f t="shared" si="1"/>
        <v>0.44615384615384618</v>
      </c>
      <c r="F11" s="15" t="s">
        <v>22</v>
      </c>
    </row>
    <row r="12" spans="1:6" x14ac:dyDescent="0.3">
      <c r="A12" s="8" t="s">
        <v>32</v>
      </c>
      <c r="B12" s="9">
        <v>80</v>
      </c>
      <c r="C12" s="9">
        <v>620</v>
      </c>
      <c r="D12" s="9">
        <f t="shared" si="0"/>
        <v>700</v>
      </c>
      <c r="E12" s="10">
        <f t="shared" si="1"/>
        <v>0.11428571428571428</v>
      </c>
      <c r="F12" s="17" t="s">
        <v>27</v>
      </c>
    </row>
    <row r="13" spans="1:6" x14ac:dyDescent="0.3">
      <c r="A13" s="12" t="s">
        <v>33</v>
      </c>
      <c r="B13" s="13">
        <v>290</v>
      </c>
      <c r="C13" s="13">
        <v>480</v>
      </c>
      <c r="D13" s="13">
        <f t="shared" si="0"/>
        <v>770</v>
      </c>
      <c r="E13" s="14">
        <f t="shared" si="1"/>
        <v>0.37662337662337664</v>
      </c>
      <c r="F13" s="15" t="s">
        <v>22</v>
      </c>
    </row>
    <row r="14" spans="1:6" x14ac:dyDescent="0.3">
      <c r="A14" s="18" t="s">
        <v>34</v>
      </c>
      <c r="B14" s="19">
        <f>SUM(B2:B13)</f>
        <v>4080</v>
      </c>
      <c r="C14" s="19">
        <f>SUM(C2:C13)</f>
        <v>6670</v>
      </c>
      <c r="D14" s="19">
        <f t="shared" si="0"/>
        <v>10750</v>
      </c>
      <c r="E14" s="20">
        <f t="shared" si="1"/>
        <v>0.37953488372093025</v>
      </c>
      <c r="F14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selection activeCell="D17" sqref="D17"/>
    </sheetView>
  </sheetViews>
  <sheetFormatPr defaultColWidth="8.6640625" defaultRowHeight="14.4" x14ac:dyDescent="0.3"/>
  <cols>
    <col min="1" max="1" width="5" bestFit="1" customWidth="1"/>
    <col min="2" max="2" width="15.77734375" bestFit="1" customWidth="1"/>
    <col min="3" max="3" width="17.88671875" bestFit="1" customWidth="1"/>
    <col min="4" max="4" width="10.88671875" bestFit="1" customWidth="1"/>
    <col min="5" max="5" width="76.33203125" customWidth="1"/>
  </cols>
  <sheetData>
    <row r="1" spans="1:5" ht="31.5" customHeight="1" x14ac:dyDescent="0.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3">
      <c r="A2" s="2">
        <v>2017</v>
      </c>
      <c r="B2" s="21">
        <v>17.399999999999999</v>
      </c>
      <c r="C2" s="10">
        <v>32.5</v>
      </c>
      <c r="D2" s="10">
        <v>30</v>
      </c>
      <c r="E2" s="22">
        <f t="shared" ref="E2:E9" si="0">B2-D2</f>
        <v>-12.600000000000001</v>
      </c>
    </row>
    <row r="3" spans="1:5" x14ac:dyDescent="0.3">
      <c r="A3" s="4">
        <v>2018</v>
      </c>
      <c r="B3" s="21">
        <v>19.399999999999999</v>
      </c>
      <c r="C3" s="14">
        <v>31.5</v>
      </c>
      <c r="D3" s="14">
        <v>30</v>
      </c>
      <c r="E3" s="22">
        <f t="shared" si="0"/>
        <v>-10.600000000000001</v>
      </c>
    </row>
    <row r="4" spans="1:5" x14ac:dyDescent="0.3">
      <c r="A4" s="2">
        <v>2019</v>
      </c>
      <c r="B4" s="21">
        <v>22.8</v>
      </c>
      <c r="C4" s="10">
        <v>29.9</v>
      </c>
      <c r="D4" s="10">
        <v>30</v>
      </c>
      <c r="E4" s="22">
        <f t="shared" si="0"/>
        <v>-7.1999999999999993</v>
      </c>
    </row>
    <row r="5" spans="1:5" x14ac:dyDescent="0.3">
      <c r="A5" s="4">
        <v>2020</v>
      </c>
      <c r="B5" s="21">
        <v>28</v>
      </c>
      <c r="C5" s="14">
        <v>33.9</v>
      </c>
      <c r="D5" s="14">
        <v>30</v>
      </c>
      <c r="E5" s="22">
        <f t="shared" si="0"/>
        <v>-2</v>
      </c>
    </row>
    <row r="6" spans="1:5" x14ac:dyDescent="0.3">
      <c r="A6" s="2">
        <v>2021</v>
      </c>
      <c r="B6" s="23">
        <v>31.3</v>
      </c>
      <c r="C6" s="10">
        <v>24.2</v>
      </c>
      <c r="D6" s="10">
        <v>30</v>
      </c>
      <c r="E6" s="24">
        <f t="shared" si="0"/>
        <v>1.3000000000000007</v>
      </c>
    </row>
    <row r="7" spans="1:5" x14ac:dyDescent="0.3">
      <c r="A7" s="4">
        <v>2022</v>
      </c>
      <c r="B7" s="23">
        <v>33</v>
      </c>
      <c r="C7" s="14">
        <v>21.8</v>
      </c>
      <c r="D7" s="14">
        <v>30</v>
      </c>
      <c r="E7" s="24">
        <f t="shared" si="0"/>
        <v>3</v>
      </c>
    </row>
    <row r="8" spans="1:5" x14ac:dyDescent="0.3">
      <c r="A8" s="2">
        <v>2023</v>
      </c>
      <c r="B8" s="23">
        <v>35</v>
      </c>
      <c r="C8" s="10">
        <v>19.2</v>
      </c>
      <c r="D8" s="10">
        <v>30</v>
      </c>
      <c r="E8" s="24">
        <f t="shared" si="0"/>
        <v>5</v>
      </c>
    </row>
    <row r="9" spans="1:5" x14ac:dyDescent="0.3">
      <c r="A9" s="4">
        <v>2024</v>
      </c>
      <c r="B9" s="23">
        <v>36.200000000000003</v>
      </c>
      <c r="C9" s="14">
        <v>14</v>
      </c>
      <c r="D9" s="14">
        <v>30</v>
      </c>
      <c r="E9" s="24">
        <f t="shared" si="0"/>
        <v>6.2000000000000028</v>
      </c>
    </row>
    <row r="11" spans="1:5" x14ac:dyDescent="0.3">
      <c r="A11" s="26" t="s">
        <v>39</v>
      </c>
      <c r="B11" s="26"/>
      <c r="C11" s="26"/>
      <c r="D11" s="26"/>
      <c r="E11" s="26"/>
    </row>
  </sheetData>
  <mergeCells count="1"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zoomScaleNormal="100" workbookViewId="0">
      <selection activeCell="I15" sqref="I15"/>
    </sheetView>
  </sheetViews>
  <sheetFormatPr defaultColWidth="8.6640625" defaultRowHeight="14.4" x14ac:dyDescent="0.3"/>
  <cols>
    <col min="1" max="1" width="15.109375" bestFit="1" customWidth="1"/>
    <col min="3" max="3" width="9.6640625" bestFit="1" customWidth="1"/>
    <col min="4" max="4" width="12" bestFit="1" customWidth="1"/>
    <col min="5" max="5" width="15.77734375" bestFit="1" customWidth="1"/>
    <col min="6" max="6" width="10.88671875" bestFit="1" customWidth="1"/>
  </cols>
  <sheetData>
    <row r="1" spans="1:6" ht="31.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</row>
    <row r="2" spans="1:6" x14ac:dyDescent="0.3">
      <c r="A2" s="8" t="s">
        <v>45</v>
      </c>
      <c r="B2" s="9">
        <v>3250</v>
      </c>
      <c r="C2" s="9">
        <v>198</v>
      </c>
      <c r="D2" s="10">
        <v>5.7</v>
      </c>
      <c r="E2" s="10">
        <v>55.2</v>
      </c>
      <c r="F2" s="25" t="s">
        <v>46</v>
      </c>
    </row>
    <row r="3" spans="1:6" x14ac:dyDescent="0.3">
      <c r="A3" s="12" t="s">
        <v>47</v>
      </c>
      <c r="B3" s="13">
        <v>2180</v>
      </c>
      <c r="C3" s="13">
        <v>145</v>
      </c>
      <c r="D3" s="14">
        <v>6.2</v>
      </c>
      <c r="E3" s="14">
        <v>52.8</v>
      </c>
      <c r="F3" s="25" t="s">
        <v>46</v>
      </c>
    </row>
    <row r="4" spans="1:6" x14ac:dyDescent="0.3">
      <c r="A4" s="8" t="s">
        <v>48</v>
      </c>
      <c r="B4" s="9">
        <v>1420</v>
      </c>
      <c r="C4" s="9">
        <v>82</v>
      </c>
      <c r="D4" s="10">
        <v>5.5</v>
      </c>
      <c r="E4" s="10">
        <v>54.1</v>
      </c>
      <c r="F4" s="25" t="s">
        <v>46</v>
      </c>
    </row>
    <row r="5" spans="1:6" x14ac:dyDescent="0.3">
      <c r="A5" s="12" t="s">
        <v>49</v>
      </c>
      <c r="B5" s="13">
        <v>680</v>
      </c>
      <c r="C5" s="13">
        <v>48</v>
      </c>
      <c r="D5" s="14">
        <v>6.6</v>
      </c>
      <c r="E5" s="14">
        <v>50.2</v>
      </c>
      <c r="F5" s="15" t="s">
        <v>50</v>
      </c>
    </row>
    <row r="6" spans="1:6" x14ac:dyDescent="0.3">
      <c r="A6" s="8" t="s">
        <v>51</v>
      </c>
      <c r="B6" s="9">
        <v>520</v>
      </c>
      <c r="C6" s="9">
        <v>42</v>
      </c>
      <c r="D6" s="10">
        <v>7.5</v>
      </c>
      <c r="E6" s="10">
        <v>48.5</v>
      </c>
      <c r="F6" s="15" t="s">
        <v>50</v>
      </c>
    </row>
    <row r="7" spans="1:6" x14ac:dyDescent="0.3">
      <c r="A7" s="12" t="s">
        <v>52</v>
      </c>
      <c r="B7" s="13">
        <v>410</v>
      </c>
      <c r="C7" s="13">
        <v>31</v>
      </c>
      <c r="D7" s="14">
        <v>7</v>
      </c>
      <c r="E7" s="14">
        <v>49.8</v>
      </c>
      <c r="F7" s="15" t="s">
        <v>50</v>
      </c>
    </row>
    <row r="8" spans="1:6" x14ac:dyDescent="0.3">
      <c r="A8" s="8" t="s">
        <v>53</v>
      </c>
      <c r="B8" s="9">
        <v>245</v>
      </c>
      <c r="C8" s="9">
        <v>22</v>
      </c>
      <c r="D8" s="10">
        <v>8.1999999999999993</v>
      </c>
      <c r="E8" s="10">
        <v>47.2</v>
      </c>
      <c r="F8" s="16" t="s">
        <v>54</v>
      </c>
    </row>
    <row r="9" spans="1:6" x14ac:dyDescent="0.3">
      <c r="A9" s="12" t="s">
        <v>55</v>
      </c>
      <c r="B9" s="13">
        <v>198</v>
      </c>
      <c r="C9" s="13">
        <v>18</v>
      </c>
      <c r="D9" s="14">
        <v>8.3000000000000007</v>
      </c>
      <c r="E9" s="14">
        <v>46.8</v>
      </c>
      <c r="F9" s="16" t="s">
        <v>54</v>
      </c>
    </row>
    <row r="10" spans="1:6" x14ac:dyDescent="0.3">
      <c r="A10" s="8" t="s">
        <v>56</v>
      </c>
      <c r="B10" s="9">
        <v>312</v>
      </c>
      <c r="C10" s="9">
        <v>32</v>
      </c>
      <c r="D10" s="10">
        <v>9.3000000000000007</v>
      </c>
      <c r="E10" s="10">
        <v>44.5</v>
      </c>
      <c r="F10" s="16" t="s">
        <v>54</v>
      </c>
    </row>
    <row r="11" spans="1:6" x14ac:dyDescent="0.3">
      <c r="A11" s="12" t="s">
        <v>57</v>
      </c>
      <c r="B11" s="13">
        <v>145</v>
      </c>
      <c r="C11" s="13">
        <v>15</v>
      </c>
      <c r="D11" s="14">
        <v>9.4</v>
      </c>
      <c r="E11" s="14">
        <v>44</v>
      </c>
      <c r="F11" s="16" t="s">
        <v>54</v>
      </c>
    </row>
    <row r="12" spans="1:6" x14ac:dyDescent="0.3">
      <c r="A12" s="8" t="s">
        <v>58</v>
      </c>
      <c r="B12" s="9">
        <v>118</v>
      </c>
      <c r="C12" s="9">
        <v>12</v>
      </c>
      <c r="D12" s="10">
        <v>9.1999999999999993</v>
      </c>
      <c r="E12" s="10">
        <v>45.2</v>
      </c>
      <c r="F12" s="16" t="s">
        <v>54</v>
      </c>
    </row>
    <row r="13" spans="1:6" x14ac:dyDescent="0.3">
      <c r="A13" s="12" t="s">
        <v>59</v>
      </c>
      <c r="B13" s="13">
        <v>98</v>
      </c>
      <c r="C13" s="13">
        <v>11</v>
      </c>
      <c r="D13" s="14">
        <v>10.1</v>
      </c>
      <c r="E13" s="14">
        <v>43.5</v>
      </c>
      <c r="F13" s="16" t="s">
        <v>54</v>
      </c>
    </row>
    <row r="14" spans="1:6" x14ac:dyDescent="0.3">
      <c r="A14" s="8" t="s">
        <v>60</v>
      </c>
      <c r="B14" s="9">
        <v>112</v>
      </c>
      <c r="C14" s="9">
        <v>11</v>
      </c>
      <c r="D14" s="10">
        <v>8.9</v>
      </c>
      <c r="E14" s="10">
        <v>45.8</v>
      </c>
      <c r="F14" s="16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Unemployment Trends</vt:lpstr>
      <vt:lpstr>Saudi vs Non-Saudi</vt:lpstr>
      <vt:lpstr>Female Participation</vt:lpstr>
      <vt:lpstr>Regional 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منصور خالد الخميس</cp:lastModifiedBy>
  <cp:revision>0</cp:revision>
  <dcterms:created xsi:type="dcterms:W3CDTF">2026-05-04T11:17:13Z</dcterms:created>
  <dcterms:modified xsi:type="dcterms:W3CDTF">2026-05-05T09:44:19Z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2026-05-04T11:22:30Z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4fa9e9ec-7a19-41a2-aa77-ce9fc1536f4b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